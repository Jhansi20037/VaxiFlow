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  <sheet state="visible" name="Summarize" sheetId="2" r:id="rId6"/>
  </sheets>
  <definedNames/>
  <calcPr/>
</workbook>
</file>

<file path=xl/sharedStrings.xml><?xml version="1.0" encoding="utf-8"?>
<sst xmlns="http://schemas.openxmlformats.org/spreadsheetml/2006/main" count="221" uniqueCount="172">
  <si>
    <t>VaxiFlow</t>
  </si>
  <si>
    <t>WBS</t>
  </si>
  <si>
    <t>Activity</t>
  </si>
  <si>
    <t>Start Date</t>
  </si>
  <si>
    <t>End Date</t>
  </si>
  <si>
    <t>Duration</t>
  </si>
  <si>
    <t>Predecessor</t>
  </si>
  <si>
    <t>1.1.1</t>
  </si>
  <si>
    <t>Drafting and finalizing the project charter</t>
  </si>
  <si>
    <t>2 days</t>
  </si>
  <si>
    <t>—</t>
  </si>
  <si>
    <t>1.1.2</t>
  </si>
  <si>
    <t>Coordinating with the finance team to confirm the final budget</t>
  </si>
  <si>
    <t>1.2.1</t>
  </si>
  <si>
    <t>Reviewing and validating medical device certification requirements</t>
  </si>
  <si>
    <t>Project Start:</t>
  </si>
  <si>
    <t>3 days</t>
  </si>
  <si>
    <t>1.2.2</t>
  </si>
  <si>
    <t>Consulting clinical staff to establish baseline temperature rules</t>
  </si>
  <si>
    <t>2.1.1</t>
  </si>
  <si>
    <t>Documenting user access levels and authentication criteria</t>
  </si>
  <si>
    <t>2.1.2</t>
  </si>
  <si>
    <t>Defining shipment lifecycle states, stop management, and handover steps</t>
  </si>
  <si>
    <t>2.1.3</t>
  </si>
  <si>
    <t>Specifying local data logging and delayed synchronization logic</t>
  </si>
  <si>
    <t>2.2.1</t>
  </si>
  <si>
    <t>Defining sensor accuracy, power management, and calibration criteria</t>
  </si>
  <si>
    <t>1.2.1, 1.2.2</t>
  </si>
  <si>
    <t>2.2.2</t>
  </si>
  <si>
    <t>Mapping physical LED trigger rules</t>
  </si>
  <si>
    <t>3.1.1</t>
  </si>
  <si>
    <t>Modeling local edge storage and offline-capable database schemas</t>
  </si>
  <si>
    <t>3.1.2</t>
  </si>
  <si>
    <t>Designing UI wireframes for dashboards, registries, and reporting views</t>
  </si>
  <si>
    <t>2.1.1, 2.1.2</t>
  </si>
  <si>
    <t>3.1.3</t>
  </si>
  <si>
    <t>Architecting the queue system for delayed network data sync</t>
  </si>
  <si>
    <t>2.1.3, 3.1.1</t>
  </si>
  <si>
    <t>3.2.1</t>
  </si>
  <si>
    <t>Planning the enclosure setup and physical device layout inside cold boxes</t>
  </si>
  <si>
    <t>3.2.2</t>
  </si>
  <si>
    <t>Designing charging and routine maintenance workflows</t>
  </si>
  <si>
    <t>4.1.1</t>
  </si>
  <si>
    <t>Procuring smart monitoring sensors and offline hardware modules</t>
  </si>
  <si>
    <t>7 days</t>
  </si>
  <si>
    <t>2.2.1, 3.2.1</t>
  </si>
  <si>
    <t>4.1.2</t>
  </si>
  <si>
    <t>Assembling and calibrating initial prototype smart boxes</t>
  </si>
  <si>
    <t>5 days</t>
  </si>
  <si>
    <t>4.2.1</t>
  </si>
  <si>
    <t>Developing authentication, user management, and contact registries</t>
  </si>
  <si>
    <t>3.1.1, 3.1.2</t>
  </si>
  <si>
    <t>4.2.2</t>
  </si>
  <si>
    <t>Implementing asset configuration registries</t>
  </si>
  <si>
    <t>4.2.1, 3.1.1</t>
  </si>
  <si>
    <t>4.3.1</t>
  </si>
  <si>
    <t>Developing the shipment transit execution engine</t>
  </si>
  <si>
    <t>2.1.2, 3.1.1, 3.1.2</t>
  </si>
  <si>
    <t>4.3.2</t>
  </si>
  <si>
    <t>Programming the local offline excursion detection algorithm and audit logs</t>
  </si>
  <si>
    <t>2.2.2, 3.1.1</t>
  </si>
  <si>
    <t>4.3.3</t>
  </si>
  <si>
    <t>Implementing delayed network queue data synchronization</t>
  </si>
  <si>
    <t>3.1.3, 4.3.2</t>
  </si>
  <si>
    <t>4.4.1</t>
  </si>
  <si>
    <t>Coding historical shipment data extraction and incident dashboard views</t>
  </si>
  <si>
    <t>Display Week:</t>
  </si>
  <si>
    <t>4.2.2, 4.3.1, 4.3.2, 4.3.3</t>
  </si>
  <si>
    <t>4.4.2</t>
  </si>
  <si>
    <t>Building exportable compliance reports for ministry and donor review</t>
  </si>
  <si>
    <t>5.1.1</t>
  </si>
  <si>
    <t>Executing unit and integration tests across hardware-software interfaces</t>
  </si>
  <si>
    <t>4.1.2, 4.2.2, 4.3.1, 4.3.2, 4.3.3, 4.4.1, 4.4.2</t>
  </si>
  <si>
    <t>5.1.2</t>
  </si>
  <si>
    <t>Simulating extreme temperature excursions to verify local offline alerts</t>
  </si>
  <si>
    <t>4.1.2, 4.3.2</t>
  </si>
  <si>
    <t>5.1.3</t>
  </si>
  <si>
    <t>Testing data persistence during forced, extended offline scenarios</t>
  </si>
  <si>
    <t>4.1.2, 4.3.3</t>
  </si>
  <si>
    <t>5.2.1</t>
  </si>
  <si>
    <t>Running UAT sessions with depot staff and delivery drivers</t>
  </si>
  <si>
    <t>5.1.1, 5.1.2, 5.1.3</t>
  </si>
  <si>
    <t>5.2.2</t>
  </si>
  <si>
    <t>Conducting on-site testing with rural clinic nurses using prototype indicators</t>
  </si>
  <si>
    <t>6.1.1</t>
  </si>
  <si>
    <t>Authoring user manuals and physical quick-reference field guides</t>
  </si>
  <si>
    <t>6.1.2</t>
  </si>
  <si>
    <t>Developing standard operating protocols for temporary paper logs</t>
  </si>
  <si>
    <t>6.1.3</t>
  </si>
  <si>
    <t>Conducting training workshops for drivers, depot staff, and nurses</t>
  </si>
  <si>
    <t>5.2.1, 5.2.2, 6.1.1, 6.1.2</t>
  </si>
  <si>
    <t>6.2.1</t>
  </si>
  <si>
    <t>Physically provisioning and installing smart devices across the 4 pilot clinics</t>
  </si>
  <si>
    <t>4.1.2, 5.2.2</t>
  </si>
  <si>
    <t>6.2.2</t>
  </si>
  <si>
    <t>Launching the live 3-month pilot window</t>
  </si>
  <si>
    <t>90 days</t>
  </si>
  <si>
    <t>6.1.3, 6.2.1</t>
  </si>
  <si>
    <t>7.1.1</t>
  </si>
  <si>
    <t>Compiling shipment logs, incident counts, and system uptime data</t>
  </si>
  <si>
    <t>7.1.2</t>
  </si>
  <si>
    <t>Gathering qualitative feedback via stakeholder interviews and surveys</t>
  </si>
  <si>
    <t>7.2.1</t>
  </si>
  <si>
    <t>Authoring the final pilot evaluation report and recommendations dossier</t>
  </si>
  <si>
    <t>7.1.1, 7.1.2</t>
  </si>
  <si>
    <t>7.2.2</t>
  </si>
  <si>
    <t>Presenting findings to the ministry and donor committees for rollout approval</t>
  </si>
  <si>
    <t>1 day</t>
  </si>
  <si>
    <t>TASK</t>
  </si>
  <si>
    <t>START</t>
  </si>
  <si>
    <t>DAYS</t>
  </si>
  <si>
    <t>END</t>
  </si>
  <si>
    <t>1. Project Initiation &amp; Planning</t>
  </si>
  <si>
    <t xml:space="preserve">    1.1 Defining Project Governance</t>
  </si>
  <si>
    <t xml:space="preserve">          1.1.1 Drafting and finalizing the project charter</t>
  </si>
  <si>
    <t xml:space="preserve">          1.1.2 Confirming the final budget</t>
  </si>
  <si>
    <t xml:space="preserve">    1.2 Establishing Compliance Frameworks</t>
  </si>
  <si>
    <t xml:space="preserve">          1.2.1 Reviewing medical device certification requirements</t>
  </si>
  <si>
    <t xml:space="preserve">          1.2.2 Establishing baseline temperature rules</t>
  </si>
  <si>
    <t>2. Requirements Gathering &amp; Analysis</t>
  </si>
  <si>
    <t xml:space="preserve">    2.1 Analyzing Software Requirements</t>
  </si>
  <si>
    <t xml:space="preserve">          2.1.1 Documenting user access levels &amp; authentication criteria</t>
  </si>
  <si>
    <t xml:space="preserve">          2.1.2 Defining shipment lifecycle, stops &amp; handover</t>
  </si>
  <si>
    <t xml:space="preserve">          2.1.3 Specifying local logging &amp; delayed synchronization</t>
  </si>
  <si>
    <t xml:space="preserve">    2.2 Analyzing Hardware Requirements</t>
  </si>
  <si>
    <t xml:space="preserve">          2.2.1 Defining sensor accuracy, power &amp; calibration criteria</t>
  </si>
  <si>
    <t xml:space="preserve">          2.2.2 Mapping LED trigger rules</t>
  </si>
  <si>
    <t>3. System Design &amp; Architecture</t>
  </si>
  <si>
    <t xml:space="preserve">    3.1 Designing Software Architecture</t>
  </si>
  <si>
    <t xml:space="preserve">          3.1.1 Modeling edge storage &amp; offline database schemas</t>
  </si>
  <si>
    <t xml:space="preserve">          3.1.2 Designing UI wireframes</t>
  </si>
  <si>
    <t xml:space="preserve">          3.1.3 Architecting delayed-sync queue</t>
  </si>
  <si>
    <t xml:space="preserve">    3.2 Designing Hardware Configuration</t>
  </si>
  <si>
    <t xml:space="preserve">          3.2.1 Planning enclosure &amp; physical device layout</t>
  </si>
  <si>
    <t xml:space="preserve">          3.2.2 Designing charging &amp; maintenance workflows</t>
  </si>
  <si>
    <t xml:space="preserve">4. System Development &amp; Configuration </t>
  </si>
  <si>
    <t xml:space="preserve">    4.1 Sourcing &amp; Configuring Hardware</t>
  </si>
  <si>
    <t xml:space="preserve">          4.1.1 Procuring sensors &amp; offline hardware modules</t>
  </si>
  <si>
    <t xml:space="preserve">          4.1.2 Assembling &amp; calibrating prototype smart boxes</t>
  </si>
  <si>
    <t xml:space="preserve">    4.2 Coding Core Software Modules</t>
  </si>
  <si>
    <t xml:space="preserve">          4.2.1 Developing authentication, user management &amp; registries</t>
  </si>
  <si>
    <t xml:space="preserve">          4.2.2 Implementing asset configuration registries</t>
  </si>
  <si>
    <t xml:space="preserve">    4.3 Coding Logistical &amp; Alert Engines</t>
  </si>
  <si>
    <t xml:space="preserve">          4.3.1 Developing shipment transit execution engine</t>
  </si>
  <si>
    <t xml:space="preserve">          4.3.2 Programming offline excursion detection &amp; audit logs</t>
  </si>
  <si>
    <t xml:space="preserve">          4.3.3 Implementing delayed network synchronization</t>
  </si>
  <si>
    <t xml:space="preserve">    4.4 Developing Reports &amp; Analytics</t>
  </si>
  <si>
    <t xml:space="preserve">          4.4.1 Historical data extraction &amp; incident dashboard</t>
  </si>
  <si>
    <t xml:space="preserve">          4.4.2 Building exportable compliance reports</t>
  </si>
  <si>
    <t>5. Testing &amp; Quality Assurance</t>
  </si>
  <si>
    <t xml:space="preserve">    5.1 Performing Internal Quality Engineering</t>
  </si>
  <si>
    <t xml:space="preserve">          5.1.1 Unit &amp; integration testing</t>
  </si>
  <si>
    <t xml:space="preserve">          5.1.2 Simulating extreme temperature excursions</t>
  </si>
  <si>
    <t xml:space="preserve">          5.1.3 Testing offline data persistence</t>
  </si>
  <si>
    <t xml:space="preserve">    5.2 Conducting User Acceptance Testing (UAT)</t>
  </si>
  <si>
    <t xml:space="preserve">          5.2.1 UAT with depot staff &amp; delivery drivers</t>
  </si>
  <si>
    <t xml:space="preserve">          5.2.2 On-site UAT with rural clinic nurses</t>
  </si>
  <si>
    <t>6. Implementation &amp; Operational Readiness</t>
  </si>
  <si>
    <t xml:space="preserve">    6.1 Preparing Training &amp; Field Logistics</t>
  </si>
  <si>
    <t xml:space="preserve">          6.1.1 Authoring user manuals &amp; quick-reference guides</t>
  </si>
  <si>
    <t xml:space="preserve">          6.1.2 Developing temporary paper-log SOP</t>
  </si>
  <si>
    <t xml:space="preserve">          6.1.3 Conducting training workshops</t>
  </si>
  <si>
    <t xml:space="preserve">    6.2 Deploying the Northern Route Pilot</t>
  </si>
  <si>
    <t xml:space="preserve">          6.2.1 Installing devices across 4 pilot clinics</t>
  </si>
  <si>
    <t xml:space="preserve">          6.2.2 Launching live 3-month pilot</t>
  </si>
  <si>
    <t>7. Post-Pilot Evaluation &amp; Closeout</t>
  </si>
  <si>
    <t xml:space="preserve">    7.1 Assessing Pilot Performance</t>
  </si>
  <si>
    <t xml:space="preserve">          7.1.1 Compiling shipment logs, incidents &amp; uptime data</t>
  </si>
  <si>
    <t xml:space="preserve">          7.1.2 Stakeholder interviews &amp; surveys</t>
  </si>
  <si>
    <t xml:space="preserve">    7.2 Project Finalization</t>
  </si>
  <si>
    <t xml:space="preserve">          7.2.1 Final pilot evaluation report</t>
  </si>
  <si>
    <t xml:space="preserve">          7.2.2 Presentation to ministry &amp; donor committees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</si>
</sst>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yy"/>
    <numFmt numFmtId="167" formatCode="d"/>
  </numFmts>
  <fonts count="11">
    <font>
      <sz val="10.0"/>
      <color rgb="FF000000"/>
      <name val="Arial"/>
      <scheme val="minor"/>
    </font>
    <font>
      <b/>
      <sz val="18.0"/>
      <color rgb="FF073763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/>
    <font>
      <sz val="8.0"/>
      <color theme="1"/>
      <name val="Arial"/>
      <scheme val="minor"/>
    </font>
    <font>
      <b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center"/>
    </xf>
    <xf borderId="1" fillId="3" fontId="2" numFmtId="165" xfId="0" applyAlignment="1" applyBorder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horizontal="left" readingOrder="0" vertical="center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 vertical="center"/>
    </xf>
    <xf borderId="2" fillId="2" fontId="4" numFmtId="165" xfId="0" applyAlignment="1" applyBorder="1" applyFill="1" applyFont="1" applyNumberFormat="1">
      <alignment horizontal="left" readingOrder="0" vertical="center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horizontal="center" vertical="center"/>
    </xf>
    <xf borderId="5" fillId="2" fontId="6" numFmtId="167" xfId="0" applyAlignment="1" applyBorder="1" applyFill="1" applyFont="1" applyNumberFormat="1">
      <alignment horizontal="center" readingOrder="0" vertical="center"/>
    </xf>
    <xf borderId="6" fillId="2" fontId="6" numFmtId="167" xfId="0" applyAlignment="1" applyBorder="1" applyFill="1" applyFont="1" applyNumberFormat="1">
      <alignment horizontal="center" readingOrder="0" vertical="center"/>
    </xf>
    <xf borderId="7" fillId="2" fontId="6" numFmtId="167" xfId="0" applyAlignment="1" applyBorder="1" applyFill="1" applyFont="1" applyNumberFormat="1">
      <alignment horizontal="center" readingOrder="0" vertical="center"/>
    </xf>
    <xf borderId="0" fillId="4" fontId="7" numFmtId="0" xfId="0" applyAlignment="1" applyFill="1" applyFont="1">
      <alignment readingOrder="0" vertical="center"/>
    </xf>
    <xf borderId="0" fillId="4" fontId="7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horizontal="center" vertical="center"/>
    </xf>
    <xf borderId="0" fillId="5" fontId="2" numFmtId="0" xfId="0" applyAlignment="1" applyFill="1" applyFont="1">
      <alignment readingOrder="0" vertical="center"/>
    </xf>
    <xf borderId="0" fillId="5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readingOrder="0" vertical="center"/>
    </xf>
    <xf borderId="0" fillId="6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readingOrder="0" vertical="center"/>
    </xf>
    <xf borderId="8" fillId="0" fontId="8" numFmtId="0" xfId="0" applyAlignment="1" applyBorder="1" applyFont="1">
      <alignment readingOrder="0" vertical="center"/>
    </xf>
    <xf borderId="8" fillId="0" fontId="8" numFmtId="165" xfId="0" applyAlignment="1" applyBorder="1" applyFont="1" applyNumberForma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8" fillId="0" fontId="8" numFmtId="165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0" fillId="7" fontId="2" numFmtId="0" xfId="0" applyAlignment="1" applyFill="1" applyFont="1">
      <alignment readingOrder="0" vertical="center"/>
    </xf>
    <xf borderId="0" fillId="7" fontId="3" numFmtId="0" xfId="0" applyAlignment="1" applyFill="1" applyFont="1">
      <alignment horizontal="center" vertical="center"/>
    </xf>
    <xf borderId="0" fillId="8" fontId="3" numFmtId="0" xfId="0" applyAlignment="1" applyFill="1" applyFont="1">
      <alignment readingOrder="0" vertical="center"/>
    </xf>
    <xf borderId="0" fillId="8" fontId="3" numFmtId="0" xfId="0" applyAlignment="1" applyFill="1" applyFon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9" fillId="9" fontId="2" numFmtId="0" xfId="0" applyAlignment="1" applyBorder="1" applyFill="1" applyFont="1">
      <alignment readingOrder="0" vertical="center"/>
    </xf>
    <xf borderId="0" fillId="9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readingOrder="0" vertical="center"/>
    </xf>
    <xf borderId="0" fillId="10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horizontal="center" readingOrder="0" vertical="center"/>
    </xf>
    <xf borderId="8" fillId="0" fontId="9" numFmtId="0" xfId="0" applyAlignment="1" applyBorder="1" applyFont="1">
      <alignment readingOrder="0" vertical="center"/>
    </xf>
    <xf borderId="8" fillId="0" fontId="9" numFmtId="165" xfId="0" applyAlignment="1" applyBorder="1" applyFont="1" applyNumberFormat="1">
      <alignment horizontal="center"/>
    </xf>
    <xf borderId="8" fillId="0" fontId="9" numFmtId="0" xfId="0" applyAlignment="1" applyBorder="1" applyFont="1">
      <alignment horizontal="center"/>
    </xf>
    <xf borderId="8" fillId="0" fontId="10" numFmtId="0" xfId="0" applyBorder="1" applyFont="1"/>
    <xf borderId="0" fillId="11" fontId="2" numFmtId="0" xfId="0" applyAlignment="1" applyFill="1" applyFont="1">
      <alignment readingOrder="0" vertical="center"/>
    </xf>
    <xf borderId="0" fillId="11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readingOrder="0" vertical="center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0" fillId="12" fontId="2" numFmtId="0" xfId="0" applyAlignment="1" applyFill="1" applyFont="1">
      <alignment readingOrder="0" vertical="center"/>
    </xf>
    <xf borderId="0" fillId="12" fontId="3" numFmtId="0" xfId="0" applyAlignment="1" applyFill="1" applyFont="1">
      <alignment horizontal="center" vertical="center"/>
    </xf>
    <xf borderId="0" fillId="13" fontId="3" numFmtId="0" xfId="0" applyAlignment="1" applyFill="1" applyFont="1">
      <alignment readingOrder="0" vertical="center"/>
    </xf>
    <xf borderId="0" fillId="13" fontId="3" numFmtId="0" xfId="0" applyAlignment="1" applyFill="1" applyFont="1">
      <alignment horizontal="center" vertical="center"/>
    </xf>
    <xf borderId="0" fillId="13" fontId="3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readingOrder="0" vertical="center"/>
    </xf>
    <xf borderId="0" fillId="14" fontId="3" numFmtId="0" xfId="0" applyAlignment="1" applyFill="1" applyFont="1">
      <alignment horizontal="center" vertical="center"/>
    </xf>
    <xf borderId="0" fillId="15" fontId="3" numFmtId="0" xfId="0" applyAlignment="1" applyFill="1" applyFont="1">
      <alignment readingOrder="0" vertical="center"/>
    </xf>
    <xf borderId="0" fillId="15" fontId="3" numFmtId="0" xfId="0" applyAlignment="1" applyFill="1" applyFont="1">
      <alignment horizontal="center" vertical="center"/>
    </xf>
    <xf borderId="0" fillId="15" fontId="3" numFmtId="0" xfId="0" applyAlignment="1" applyFill="1" applyFont="1">
      <alignment horizontal="center" readingOrder="0" vertical="center"/>
    </xf>
    <xf borderId="0" fillId="16" fontId="2" numFmtId="0" xfId="0" applyAlignment="1" applyFill="1" applyFont="1">
      <alignment readingOrder="0" vertical="center"/>
    </xf>
    <xf borderId="0" fillId="16" fontId="3" numFmtId="0" xfId="0" applyAlignment="1" applyFill="1" applyFont="1">
      <alignment horizontal="center" vertical="center"/>
    </xf>
    <xf borderId="0" fillId="17" fontId="3" numFmtId="0" xfId="0" applyAlignment="1" applyFill="1" applyFont="1">
      <alignment readingOrder="0" vertical="center"/>
    </xf>
    <xf borderId="0" fillId="17" fontId="3" numFmtId="0" xfId="0" applyAlignment="1" applyFill="1" applyFont="1">
      <alignment horizontal="center" vertical="center"/>
    </xf>
    <xf borderId="0" fillId="17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7.25"/>
    <col customWidth="1" min="2" max="2" width="10.13"/>
    <col customWidth="1" min="3" max="3" width="5.13"/>
    <col customWidth="1" min="4" max="4" width="10.13"/>
    <col customWidth="1" min="5" max="33" width="2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B2" s="7" t="s">
        <v>15</v>
      </c>
      <c r="D2" s="8">
        <v>46279.0</v>
      </c>
      <c r="E2" s="3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B3" s="7" t="s">
        <v>66</v>
      </c>
      <c r="D3" s="12">
        <v>1.0</v>
      </c>
      <c r="E3" s="3"/>
      <c r="F3" s="13">
        <f>F4</f>
        <v>46279</v>
      </c>
      <c r="G3" s="14"/>
      <c r="H3" s="14"/>
      <c r="I3" s="14"/>
      <c r="J3" s="14"/>
      <c r="K3" s="14"/>
      <c r="L3" s="15"/>
      <c r="M3" s="13">
        <f>M4</f>
        <v>46286</v>
      </c>
      <c r="N3" s="14"/>
      <c r="O3" s="14"/>
      <c r="P3" s="14"/>
      <c r="Q3" s="14"/>
      <c r="R3" s="14"/>
      <c r="S3" s="15"/>
      <c r="T3" s="13">
        <f>T4</f>
        <v>46293</v>
      </c>
      <c r="U3" s="14"/>
      <c r="V3" s="14"/>
      <c r="W3" s="14"/>
      <c r="X3" s="14"/>
      <c r="Y3" s="14"/>
      <c r="Z3" s="15"/>
      <c r="AA3" s="13">
        <f>AA4</f>
        <v>46300</v>
      </c>
      <c r="AB3" s="14"/>
      <c r="AC3" s="14"/>
      <c r="AD3" s="14"/>
      <c r="AE3" s="14"/>
      <c r="AF3" s="14"/>
      <c r="AG3" s="15"/>
    </row>
    <row r="4">
      <c r="A4" s="3"/>
      <c r="B4" s="16"/>
      <c r="C4" s="16"/>
      <c r="D4" s="16"/>
      <c r="E4" s="16"/>
      <c r="F4" s="17">
        <f>$B$8-WEEKDAY(D2,3)+(D3-1)*7</f>
        <v>46279</v>
      </c>
      <c r="G4" s="18">
        <f t="shared" ref="G4:AG4" si="1">F4+1</f>
        <v>46280</v>
      </c>
      <c r="H4" s="18">
        <f t="shared" si="1"/>
        <v>46281</v>
      </c>
      <c r="I4" s="18">
        <f t="shared" si="1"/>
        <v>46282</v>
      </c>
      <c r="J4" s="18">
        <f t="shared" si="1"/>
        <v>46283</v>
      </c>
      <c r="K4" s="18">
        <f t="shared" si="1"/>
        <v>46284</v>
      </c>
      <c r="L4" s="19">
        <f t="shared" si="1"/>
        <v>46285</v>
      </c>
      <c r="M4" s="17">
        <f t="shared" si="1"/>
        <v>46286</v>
      </c>
      <c r="N4" s="18">
        <f t="shared" si="1"/>
        <v>46287</v>
      </c>
      <c r="O4" s="18">
        <f t="shared" si="1"/>
        <v>46288</v>
      </c>
      <c r="P4" s="18">
        <f t="shared" si="1"/>
        <v>46289</v>
      </c>
      <c r="Q4" s="18">
        <f t="shared" si="1"/>
        <v>46290</v>
      </c>
      <c r="R4" s="18">
        <f t="shared" si="1"/>
        <v>46291</v>
      </c>
      <c r="S4" s="19">
        <f t="shared" si="1"/>
        <v>46292</v>
      </c>
      <c r="T4" s="17">
        <f t="shared" si="1"/>
        <v>46293</v>
      </c>
      <c r="U4" s="18">
        <f t="shared" si="1"/>
        <v>46294</v>
      </c>
      <c r="V4" s="18">
        <f t="shared" si="1"/>
        <v>46295</v>
      </c>
      <c r="W4" s="18">
        <f t="shared" si="1"/>
        <v>46296</v>
      </c>
      <c r="X4" s="18">
        <f t="shared" si="1"/>
        <v>46297</v>
      </c>
      <c r="Y4" s="18">
        <f t="shared" si="1"/>
        <v>46298</v>
      </c>
      <c r="Z4" s="19">
        <f t="shared" si="1"/>
        <v>46299</v>
      </c>
      <c r="AA4" s="17">
        <f t="shared" si="1"/>
        <v>46300</v>
      </c>
      <c r="AB4" s="18">
        <f t="shared" si="1"/>
        <v>46301</v>
      </c>
      <c r="AC4" s="18">
        <f t="shared" si="1"/>
        <v>46302</v>
      </c>
      <c r="AD4" s="18">
        <f t="shared" si="1"/>
        <v>46303</v>
      </c>
      <c r="AE4" s="18">
        <f t="shared" si="1"/>
        <v>46304</v>
      </c>
      <c r="AF4" s="18">
        <f t="shared" si="1"/>
        <v>46305</v>
      </c>
      <c r="AG4" s="19">
        <f t="shared" si="1"/>
        <v>46306</v>
      </c>
    </row>
    <row r="5">
      <c r="A5" s="20" t="s">
        <v>108</v>
      </c>
      <c r="B5" s="21" t="s">
        <v>109</v>
      </c>
      <c r="C5" s="21" t="s">
        <v>110</v>
      </c>
      <c r="D5" s="21" t="s">
        <v>111</v>
      </c>
      <c r="E5" s="22"/>
      <c r="F5" s="22" t="str">
        <f t="shared" ref="F5:AG5" si="2">left(text(F4,"ddd"),1)</f>
        <v>M</v>
      </c>
      <c r="G5" s="22" t="str">
        <f t="shared" si="2"/>
        <v>T</v>
      </c>
      <c r="H5" s="22" t="str">
        <f t="shared" si="2"/>
        <v>W</v>
      </c>
      <c r="I5" s="22" t="str">
        <f t="shared" si="2"/>
        <v>T</v>
      </c>
      <c r="J5" s="22" t="str">
        <f t="shared" si="2"/>
        <v>F</v>
      </c>
      <c r="K5" s="22" t="str">
        <f t="shared" si="2"/>
        <v>S</v>
      </c>
      <c r="L5" s="22" t="str">
        <f t="shared" si="2"/>
        <v>S</v>
      </c>
      <c r="M5" s="22" t="str">
        <f t="shared" si="2"/>
        <v>M</v>
      </c>
      <c r="N5" s="22" t="str">
        <f t="shared" si="2"/>
        <v>T</v>
      </c>
      <c r="O5" s="22" t="str">
        <f t="shared" si="2"/>
        <v>W</v>
      </c>
      <c r="P5" s="22" t="str">
        <f t="shared" si="2"/>
        <v>T</v>
      </c>
      <c r="Q5" s="22" t="str">
        <f t="shared" si="2"/>
        <v>F</v>
      </c>
      <c r="R5" s="22" t="str">
        <f t="shared" si="2"/>
        <v>S</v>
      </c>
      <c r="S5" s="22" t="str">
        <f t="shared" si="2"/>
        <v>S</v>
      </c>
      <c r="T5" s="22" t="str">
        <f t="shared" si="2"/>
        <v>M</v>
      </c>
      <c r="U5" s="22" t="str">
        <f t="shared" si="2"/>
        <v>T</v>
      </c>
      <c r="V5" s="22" t="str">
        <f t="shared" si="2"/>
        <v>W</v>
      </c>
      <c r="W5" s="22" t="str">
        <f t="shared" si="2"/>
        <v>T</v>
      </c>
      <c r="X5" s="22" t="str">
        <f t="shared" si="2"/>
        <v>F</v>
      </c>
      <c r="Y5" s="22" t="str">
        <f t="shared" si="2"/>
        <v>S</v>
      </c>
      <c r="Z5" s="22" t="str">
        <f t="shared" si="2"/>
        <v>S</v>
      </c>
      <c r="AA5" s="22" t="str">
        <f t="shared" si="2"/>
        <v>M</v>
      </c>
      <c r="AB5" s="22" t="str">
        <f t="shared" si="2"/>
        <v>T</v>
      </c>
      <c r="AC5" s="22" t="str">
        <f t="shared" si="2"/>
        <v>W</v>
      </c>
      <c r="AD5" s="22" t="str">
        <f t="shared" si="2"/>
        <v>T</v>
      </c>
      <c r="AE5" s="22" t="str">
        <f t="shared" si="2"/>
        <v>F</v>
      </c>
      <c r="AF5" s="22" t="str">
        <f t="shared" si="2"/>
        <v>S</v>
      </c>
      <c r="AG5" s="22" t="str">
        <f t="shared" si="2"/>
        <v>S</v>
      </c>
    </row>
    <row r="6">
      <c r="A6" s="23" t="s">
        <v>112</v>
      </c>
      <c r="B6" s="24"/>
      <c r="C6" s="24"/>
      <c r="D6" s="25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26" t="s">
        <v>113</v>
      </c>
      <c r="B7" s="27"/>
      <c r="C7" s="27"/>
      <c r="D7" s="28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>
      <c r="A8" s="29" t="s">
        <v>114</v>
      </c>
      <c r="B8" s="30">
        <f>D2</f>
        <v>46279</v>
      </c>
      <c r="C8" s="31">
        <v>2.0</v>
      </c>
      <c r="D8" s="32">
        <f t="shared" ref="D8:D9" si="3">B8+C8-1</f>
        <v>46280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>
      <c r="A9" s="29" t="s">
        <v>115</v>
      </c>
      <c r="B9" s="32">
        <f>D8+1</f>
        <v>46281</v>
      </c>
      <c r="C9" s="31">
        <v>2.0</v>
      </c>
      <c r="D9" s="32">
        <f t="shared" si="3"/>
        <v>46282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>
      <c r="A10" s="26" t="s">
        <v>116</v>
      </c>
      <c r="B10" s="27"/>
      <c r="C10" s="27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>
      <c r="A11" s="29" t="s">
        <v>117</v>
      </c>
      <c r="B11" s="32">
        <f>B8</f>
        <v>46279</v>
      </c>
      <c r="C11" s="31">
        <v>3.0</v>
      </c>
      <c r="D11" s="32">
        <f t="shared" ref="D11:D12" si="4">B11+C11-1</f>
        <v>46281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>
      <c r="A12" s="29" t="s">
        <v>118</v>
      </c>
      <c r="B12" s="32">
        <f>D8+1</f>
        <v>46281</v>
      </c>
      <c r="C12" s="31">
        <v>3.0</v>
      </c>
      <c r="D12" s="32">
        <f t="shared" si="4"/>
        <v>46283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34" t="s">
        <v>119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>
      <c r="A14" s="36" t="s">
        <v>120</v>
      </c>
      <c r="B14" s="37"/>
      <c r="C14" s="37"/>
      <c r="D14" s="38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>
      <c r="A15" s="29" t="s">
        <v>121</v>
      </c>
      <c r="B15" s="32">
        <f>D8+1</f>
        <v>46281</v>
      </c>
      <c r="C15" s="31">
        <v>2.0</v>
      </c>
      <c r="D15" s="32">
        <f t="shared" ref="D15:D17" si="5">B15+C15-1</f>
        <v>46282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>
      <c r="A16" s="29" t="s">
        <v>122</v>
      </c>
      <c r="B16" s="30">
        <f>D8+1</f>
        <v>46281</v>
      </c>
      <c r="C16" s="31">
        <v>3.0</v>
      </c>
      <c r="D16" s="32">
        <f t="shared" si="5"/>
        <v>46283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>
      <c r="A17" s="29" t="s">
        <v>123</v>
      </c>
      <c r="B17" s="32">
        <f>D16+1</f>
        <v>46284</v>
      </c>
      <c r="C17" s="31">
        <v>3.0</v>
      </c>
      <c r="D17" s="32">
        <f t="shared" si="5"/>
        <v>46286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>
      <c r="A18" s="36" t="s">
        <v>124</v>
      </c>
      <c r="B18" s="37"/>
      <c r="C18" s="37"/>
      <c r="D18" s="38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>
      <c r="A19" s="29" t="s">
        <v>125</v>
      </c>
      <c r="B19" s="30">
        <f>D12+1</f>
        <v>46284</v>
      </c>
      <c r="C19" s="31">
        <v>3.0</v>
      </c>
      <c r="D19" s="32">
        <f t="shared" ref="D19:D20" si="6">B19+C19-1</f>
        <v>46286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>
      <c r="A20" s="29" t="s">
        <v>126</v>
      </c>
      <c r="B20" s="32">
        <f>D19+1</f>
        <v>46287</v>
      </c>
      <c r="C20" s="31">
        <v>2.0</v>
      </c>
      <c r="D20" s="32">
        <f t="shared" si="6"/>
        <v>46288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>
      <c r="A21" s="39" t="s">
        <v>127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A22" s="41" t="s">
        <v>128</v>
      </c>
      <c r="B22" s="42"/>
      <c r="C22" s="42"/>
      <c r="D22" s="43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>
      <c r="A23" s="29" t="s">
        <v>129</v>
      </c>
      <c r="B23" s="30">
        <f>D17+1</f>
        <v>46287</v>
      </c>
      <c r="C23" s="31">
        <v>3.0</v>
      </c>
      <c r="D23" s="32">
        <f t="shared" ref="D23:D25" si="7">B23+C23-1</f>
        <v>46289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>
      <c r="A24" s="44" t="s">
        <v>130</v>
      </c>
      <c r="B24" s="45">
        <f>D12+1</f>
        <v>46284</v>
      </c>
      <c r="C24" s="46">
        <v>3.0</v>
      </c>
      <c r="D24" s="45">
        <f t="shared" si="7"/>
        <v>46286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>
      <c r="A25" s="29" t="s">
        <v>131</v>
      </c>
      <c r="B25" s="30">
        <f>D23+1</f>
        <v>46290</v>
      </c>
      <c r="C25" s="31">
        <v>2.0</v>
      </c>
      <c r="D25" s="32">
        <f t="shared" si="7"/>
        <v>46291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>
      <c r="A26" s="41" t="s">
        <v>132</v>
      </c>
      <c r="B26" s="42"/>
      <c r="C26" s="42"/>
      <c r="D26" s="43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</row>
    <row r="27">
      <c r="A27" s="29" t="s">
        <v>133</v>
      </c>
      <c r="B27" s="32">
        <f>D19+1</f>
        <v>46287</v>
      </c>
      <c r="C27" s="31">
        <v>3.0</v>
      </c>
      <c r="D27" s="32">
        <f t="shared" ref="D27:D28" si="8">B27+C27-1</f>
        <v>46289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>
      <c r="A28" s="29" t="s">
        <v>134</v>
      </c>
      <c r="B28" s="32">
        <f>D27+1</f>
        <v>46290</v>
      </c>
      <c r="C28" s="31">
        <v>2.0</v>
      </c>
      <c r="D28" s="32">
        <f t="shared" si="8"/>
        <v>46291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>
      <c r="A29" s="48" t="s">
        <v>135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</row>
    <row r="30">
      <c r="A30" s="50" t="s">
        <v>136</v>
      </c>
      <c r="B30" s="51"/>
      <c r="C30" s="51"/>
      <c r="D30" s="52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</row>
    <row r="31">
      <c r="A31" s="29" t="s">
        <v>137</v>
      </c>
      <c r="B31" s="30">
        <f>D27+1</f>
        <v>46290</v>
      </c>
      <c r="C31" s="31">
        <v>7.0</v>
      </c>
      <c r="D31" s="32">
        <f t="shared" ref="D31:D32" si="9">B31+C31-1</f>
        <v>46296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>
      <c r="A32" s="29" t="s">
        <v>138</v>
      </c>
      <c r="B32" s="30">
        <f>D31+1</f>
        <v>46297</v>
      </c>
      <c r="C32" s="31">
        <v>5.0</v>
      </c>
      <c r="D32" s="32">
        <f t="shared" si="9"/>
        <v>46301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>
      <c r="A33" s="50" t="s">
        <v>139</v>
      </c>
      <c r="B33" s="51"/>
      <c r="C33" s="51"/>
      <c r="D33" s="52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</row>
    <row r="34">
      <c r="A34" s="29" t="s">
        <v>140</v>
      </c>
      <c r="B34" s="32">
        <f>D24+1</f>
        <v>46287</v>
      </c>
      <c r="C34" s="31">
        <v>7.0</v>
      </c>
      <c r="D34" s="32">
        <f t="shared" ref="D34:D35" si="10">B34+C34-1</f>
        <v>46293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>
      <c r="A35" s="29" t="s">
        <v>141</v>
      </c>
      <c r="B35" s="32">
        <f>D34+1</f>
        <v>46294</v>
      </c>
      <c r="C35" s="31">
        <v>5.0</v>
      </c>
      <c r="D35" s="32">
        <f t="shared" si="10"/>
        <v>46298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>
      <c r="A36" s="50" t="s">
        <v>142</v>
      </c>
      <c r="B36" s="51"/>
      <c r="C36" s="51"/>
      <c r="D36" s="52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</row>
    <row r="37">
      <c r="A37" s="29" t="s">
        <v>143</v>
      </c>
      <c r="B37" s="32">
        <f>D24+1</f>
        <v>46287</v>
      </c>
      <c r="C37" s="31">
        <v>7.0</v>
      </c>
      <c r="D37" s="32">
        <f t="shared" ref="D37:D39" si="11">B37+C37-1</f>
        <v>46293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>
      <c r="A38" s="29" t="s">
        <v>144</v>
      </c>
      <c r="B38" s="30">
        <f>D23+1</f>
        <v>46290</v>
      </c>
      <c r="C38" s="31">
        <v>7.0</v>
      </c>
      <c r="D38" s="32">
        <f t="shared" si="11"/>
        <v>46296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>
      <c r="A39" s="53" t="s">
        <v>145</v>
      </c>
      <c r="B39" s="32">
        <f>D38+1</f>
        <v>46297</v>
      </c>
      <c r="C39" s="31">
        <v>5.0</v>
      </c>
      <c r="D39" s="32">
        <f t="shared" si="11"/>
        <v>46301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>
      <c r="A40" s="50" t="s">
        <v>146</v>
      </c>
      <c r="B40" s="51"/>
      <c r="C40" s="51"/>
      <c r="D40" s="52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</row>
    <row r="41">
      <c r="A41" s="29" t="s">
        <v>147</v>
      </c>
      <c r="B41" s="30">
        <f>D35+1</f>
        <v>46299</v>
      </c>
      <c r="C41" s="31">
        <v>5.0</v>
      </c>
      <c r="D41" s="32">
        <f t="shared" ref="D41:D42" si="12">B41+C41-1</f>
        <v>46303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>
      <c r="A42" s="29" t="s">
        <v>148</v>
      </c>
      <c r="B42" s="32">
        <f>D41+1</f>
        <v>46304</v>
      </c>
      <c r="C42" s="31">
        <v>3.0</v>
      </c>
      <c r="D42" s="32">
        <f t="shared" si="12"/>
        <v>46306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>
      <c r="A43" s="54" t="s">
        <v>149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</row>
    <row r="44">
      <c r="A44" s="56" t="s">
        <v>150</v>
      </c>
      <c r="B44" s="57"/>
      <c r="C44" s="57"/>
      <c r="D44" s="58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</row>
    <row r="45">
      <c r="A45" s="29" t="s">
        <v>151</v>
      </c>
      <c r="B45" s="32">
        <f>D42+1</f>
        <v>46307</v>
      </c>
      <c r="C45" s="31">
        <v>5.0</v>
      </c>
      <c r="D45" s="32">
        <f t="shared" ref="D45:D47" si="13">B45+C45-1</f>
        <v>46311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>
      <c r="A46" s="29" t="s">
        <v>152</v>
      </c>
      <c r="B46" s="32">
        <f>D32+1</f>
        <v>46302</v>
      </c>
      <c r="C46" s="31">
        <v>3.0</v>
      </c>
      <c r="D46" s="32">
        <f t="shared" si="13"/>
        <v>46304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>
      <c r="A47" s="29" t="s">
        <v>153</v>
      </c>
      <c r="B47" s="32">
        <f>D39+1</f>
        <v>46302</v>
      </c>
      <c r="C47" s="31">
        <v>3.0</v>
      </c>
      <c r="D47" s="32">
        <f t="shared" si="13"/>
        <v>46304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>
      <c r="A48" s="56" t="s">
        <v>154</v>
      </c>
      <c r="B48" s="57"/>
      <c r="C48" s="57"/>
      <c r="D48" s="58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>
      <c r="A49" s="29" t="s">
        <v>155</v>
      </c>
      <c r="B49" s="30">
        <f>D45+1</f>
        <v>46312</v>
      </c>
      <c r="C49" s="31">
        <v>3.0</v>
      </c>
      <c r="D49" s="32">
        <f t="shared" ref="D49:D50" si="14">B49+C49-1</f>
        <v>46314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>
      <c r="A50" s="53" t="s">
        <v>156</v>
      </c>
      <c r="B50" s="32">
        <f>D45+1</f>
        <v>46312</v>
      </c>
      <c r="C50" s="31">
        <v>3.0</v>
      </c>
      <c r="D50" s="32">
        <f t="shared" si="14"/>
        <v>46314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>
      <c r="A51" s="59" t="s">
        <v>157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>
      <c r="A52" s="61" t="s">
        <v>158</v>
      </c>
      <c r="B52" s="62"/>
      <c r="C52" s="62"/>
      <c r="D52" s="63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</row>
    <row r="53">
      <c r="A53" s="29" t="s">
        <v>159</v>
      </c>
      <c r="B53" s="32">
        <f>D41+1</f>
        <v>46304</v>
      </c>
      <c r="C53" s="31">
        <v>4.0</v>
      </c>
      <c r="D53" s="32">
        <f t="shared" ref="D53:D55" si="15">B53+C53-1</f>
        <v>46307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>
      <c r="A54" s="29" t="s">
        <v>160</v>
      </c>
      <c r="B54" s="32">
        <f>D45+1</f>
        <v>46312</v>
      </c>
      <c r="C54" s="31">
        <v>2.0</v>
      </c>
      <c r="D54" s="32">
        <f t="shared" si="15"/>
        <v>46313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>
      <c r="A55" s="29" t="s">
        <v>161</v>
      </c>
      <c r="B55" s="32">
        <f>D49+1</f>
        <v>46315</v>
      </c>
      <c r="C55" s="31">
        <v>3.0</v>
      </c>
      <c r="D55" s="32">
        <f t="shared" si="15"/>
        <v>46317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>
      <c r="A56" s="61" t="s">
        <v>162</v>
      </c>
      <c r="B56" s="62"/>
      <c r="C56" s="62"/>
      <c r="D56" s="63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</row>
    <row r="57">
      <c r="A57" s="29" t="s">
        <v>163</v>
      </c>
      <c r="B57" s="30">
        <f>D50+1</f>
        <v>46315</v>
      </c>
      <c r="C57" s="31">
        <v>3.0</v>
      </c>
      <c r="D57" s="32">
        <f t="shared" ref="D57:D58" si="16">B57+C57-1</f>
        <v>46317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>
      <c r="A58" s="53" t="s">
        <v>164</v>
      </c>
      <c r="B58" s="32">
        <f>D55+1</f>
        <v>46318</v>
      </c>
      <c r="C58" s="31">
        <v>90.0</v>
      </c>
      <c r="D58" s="32">
        <f t="shared" si="16"/>
        <v>46407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>
      <c r="A59" s="64" t="s">
        <v>165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</row>
    <row r="60">
      <c r="A60" s="66" t="s">
        <v>166</v>
      </c>
      <c r="B60" s="67"/>
      <c r="C60" s="67"/>
      <c r="D60" s="68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</row>
    <row r="61">
      <c r="A61" s="29" t="s">
        <v>167</v>
      </c>
      <c r="B61" s="32">
        <f>D58+1</f>
        <v>46408</v>
      </c>
      <c r="C61" s="31">
        <v>5.0</v>
      </c>
      <c r="D61" s="32">
        <f t="shared" ref="D61:D62" si="17">B61+C61-1</f>
        <v>46412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>
      <c r="A62" s="29" t="s">
        <v>168</v>
      </c>
      <c r="B62" s="32">
        <f>D58+1</f>
        <v>46408</v>
      </c>
      <c r="C62" s="31">
        <v>5.0</v>
      </c>
      <c r="D62" s="32">
        <f t="shared" si="17"/>
        <v>46412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>
      <c r="A63" s="66" t="s">
        <v>169</v>
      </c>
      <c r="B63" s="67"/>
      <c r="C63" s="67"/>
      <c r="D63" s="68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</row>
    <row r="64">
      <c r="A64" s="29" t="s">
        <v>170</v>
      </c>
      <c r="B64" s="32">
        <f>D62+1</f>
        <v>46413</v>
      </c>
      <c r="C64" s="31">
        <v>5.0</v>
      </c>
      <c r="D64" s="32">
        <f t="shared" ref="D64:D65" si="18">B64+C64-1</f>
        <v>46417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>
      <c r="A65" s="29" t="s">
        <v>171</v>
      </c>
      <c r="B65" s="30">
        <f>D64+1</f>
        <v>46418</v>
      </c>
      <c r="C65" s="31">
        <v>1.0</v>
      </c>
      <c r="D65" s="32">
        <f t="shared" si="18"/>
        <v>46418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</sheetData>
  <mergeCells count="6">
    <mergeCell ref="B2:C2"/>
    <mergeCell ref="B3:C3"/>
    <mergeCell ref="F3:L3"/>
    <mergeCell ref="M3:S3"/>
    <mergeCell ref="T3:Z3"/>
    <mergeCell ref="AA3:AG3"/>
  </mergeCells>
  <conditionalFormatting sqref="F6:AG65">
    <cfRule type="expression" dxfId="0" priority="1">
      <formula>AND(F$4&gt;=$B6,F$4&lt;=$D6)</formula>
    </cfRule>
  </conditionalFormatting>
  <conditionalFormatting sqref="F4:AG5">
    <cfRule type="expression" dxfId="1" priority="2">
      <formula>F$4=TODAY()</formula>
    </cfRule>
  </conditionalFormatting>
  <dataValidations>
    <dataValidation type="list" allowBlank="1" showErrorMessage="1" sqref="D3">
      <formula1>"1,2,3,4,5,6,7,8,9,10,11,12,13,14,15,16,17"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7.25"/>
    <col customWidth="1" min="3" max="4" width="9.38"/>
    <col customWidth="1" min="5" max="5" width="7.88"/>
    <col customWidth="1" min="6" max="6" width="32.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4" t="s">
        <v>7</v>
      </c>
      <c r="B2" s="5" t="s">
        <v>8</v>
      </c>
      <c r="C2" s="6">
        <v>46279.0</v>
      </c>
      <c r="D2" s="6">
        <v>46280.0</v>
      </c>
      <c r="E2" s="4" t="s">
        <v>9</v>
      </c>
      <c r="F2" s="5" t="s">
        <v>10</v>
      </c>
    </row>
    <row r="3">
      <c r="A3" s="4" t="s">
        <v>11</v>
      </c>
      <c r="B3" s="5" t="s">
        <v>12</v>
      </c>
      <c r="C3" s="6">
        <v>46281.0</v>
      </c>
      <c r="D3" s="6">
        <v>46282.0</v>
      </c>
      <c r="E3" s="4" t="s">
        <v>9</v>
      </c>
      <c r="F3" s="5" t="s">
        <v>7</v>
      </c>
    </row>
    <row r="4">
      <c r="A4" s="4" t="s">
        <v>13</v>
      </c>
      <c r="B4" s="5" t="s">
        <v>14</v>
      </c>
      <c r="C4" s="6">
        <v>46279.0</v>
      </c>
      <c r="D4" s="6">
        <v>46281.0</v>
      </c>
      <c r="E4" s="4" t="s">
        <v>16</v>
      </c>
      <c r="F4" s="5" t="s">
        <v>10</v>
      </c>
    </row>
    <row r="5">
      <c r="A5" s="4" t="s">
        <v>17</v>
      </c>
      <c r="B5" s="5" t="s">
        <v>18</v>
      </c>
      <c r="C5" s="6">
        <v>46281.0</v>
      </c>
      <c r="D5" s="6">
        <v>46283.0</v>
      </c>
      <c r="E5" s="4" t="s">
        <v>16</v>
      </c>
      <c r="F5" s="5" t="s">
        <v>7</v>
      </c>
    </row>
    <row r="6">
      <c r="A6" s="4" t="s">
        <v>19</v>
      </c>
      <c r="B6" s="5" t="s">
        <v>20</v>
      </c>
      <c r="C6" s="6">
        <v>46281.0</v>
      </c>
      <c r="D6" s="6">
        <v>46282.0</v>
      </c>
      <c r="E6" s="4" t="s">
        <v>9</v>
      </c>
      <c r="F6" s="5" t="s">
        <v>7</v>
      </c>
    </row>
    <row r="7">
      <c r="A7" s="4" t="s">
        <v>21</v>
      </c>
      <c r="B7" s="5" t="s">
        <v>22</v>
      </c>
      <c r="C7" s="6">
        <v>46281.0</v>
      </c>
      <c r="D7" s="6">
        <v>46283.0</v>
      </c>
      <c r="E7" s="4" t="s">
        <v>16</v>
      </c>
      <c r="F7" s="5" t="s">
        <v>7</v>
      </c>
    </row>
    <row r="8">
      <c r="A8" s="4" t="s">
        <v>23</v>
      </c>
      <c r="B8" s="5" t="s">
        <v>24</v>
      </c>
      <c r="C8" s="6">
        <v>46284.0</v>
      </c>
      <c r="D8" s="6">
        <v>46286.0</v>
      </c>
      <c r="E8" s="4" t="s">
        <v>16</v>
      </c>
      <c r="F8" s="5" t="s">
        <v>21</v>
      </c>
    </row>
    <row r="9">
      <c r="A9" s="4" t="s">
        <v>25</v>
      </c>
      <c r="B9" s="5" t="s">
        <v>26</v>
      </c>
      <c r="C9" s="6">
        <v>46284.0</v>
      </c>
      <c r="D9" s="6">
        <v>46286.0</v>
      </c>
      <c r="E9" s="4" t="s">
        <v>16</v>
      </c>
      <c r="F9" s="5" t="s">
        <v>27</v>
      </c>
    </row>
    <row r="10">
      <c r="A10" s="4" t="s">
        <v>28</v>
      </c>
      <c r="B10" s="5" t="s">
        <v>29</v>
      </c>
      <c r="C10" s="6">
        <v>46287.0</v>
      </c>
      <c r="D10" s="6">
        <v>46288.0</v>
      </c>
      <c r="E10" s="4" t="s">
        <v>9</v>
      </c>
      <c r="F10" s="5" t="s">
        <v>25</v>
      </c>
    </row>
    <row r="11">
      <c r="A11" s="4" t="s">
        <v>30</v>
      </c>
      <c r="B11" s="5" t="s">
        <v>31</v>
      </c>
      <c r="C11" s="6">
        <v>46287.0</v>
      </c>
      <c r="D11" s="6">
        <v>46289.0</v>
      </c>
      <c r="E11" s="4" t="s">
        <v>16</v>
      </c>
      <c r="F11" s="5" t="s">
        <v>23</v>
      </c>
    </row>
    <row r="12">
      <c r="A12" s="4" t="s">
        <v>32</v>
      </c>
      <c r="B12" s="5" t="s">
        <v>33</v>
      </c>
      <c r="C12" s="6">
        <v>46284.0</v>
      </c>
      <c r="D12" s="6">
        <v>46286.0</v>
      </c>
      <c r="E12" s="4" t="s">
        <v>16</v>
      </c>
      <c r="F12" s="5" t="s">
        <v>34</v>
      </c>
    </row>
    <row r="13">
      <c r="A13" s="4" t="s">
        <v>35</v>
      </c>
      <c r="B13" s="5" t="s">
        <v>36</v>
      </c>
      <c r="C13" s="6">
        <v>46290.0</v>
      </c>
      <c r="D13" s="6">
        <v>46291.0</v>
      </c>
      <c r="E13" s="4" t="s">
        <v>9</v>
      </c>
      <c r="F13" s="5" t="s">
        <v>37</v>
      </c>
    </row>
    <row r="14">
      <c r="A14" s="4" t="s">
        <v>38</v>
      </c>
      <c r="B14" s="5" t="s">
        <v>39</v>
      </c>
      <c r="C14" s="6">
        <v>46287.0</v>
      </c>
      <c r="D14" s="6">
        <v>46289.0</v>
      </c>
      <c r="E14" s="4" t="s">
        <v>16</v>
      </c>
      <c r="F14" s="5" t="s">
        <v>25</v>
      </c>
    </row>
    <row r="15">
      <c r="A15" s="4" t="s">
        <v>40</v>
      </c>
      <c r="B15" s="5" t="s">
        <v>41</v>
      </c>
      <c r="C15" s="6">
        <v>46290.0</v>
      </c>
      <c r="D15" s="6">
        <v>46291.0</v>
      </c>
      <c r="E15" s="4" t="s">
        <v>9</v>
      </c>
      <c r="F15" s="5" t="s">
        <v>38</v>
      </c>
    </row>
    <row r="16">
      <c r="A16" s="4" t="s">
        <v>42</v>
      </c>
      <c r="B16" s="5" t="s">
        <v>43</v>
      </c>
      <c r="C16" s="6">
        <v>46290.0</v>
      </c>
      <c r="D16" s="6">
        <v>46296.0</v>
      </c>
      <c r="E16" s="4" t="s">
        <v>44</v>
      </c>
      <c r="F16" s="5" t="s">
        <v>45</v>
      </c>
    </row>
    <row r="17">
      <c r="A17" s="4" t="s">
        <v>46</v>
      </c>
      <c r="B17" s="5" t="s">
        <v>47</v>
      </c>
      <c r="C17" s="6">
        <v>46297.0</v>
      </c>
      <c r="D17" s="6">
        <v>46301.0</v>
      </c>
      <c r="E17" s="4" t="s">
        <v>48</v>
      </c>
      <c r="F17" s="5" t="s">
        <v>42</v>
      </c>
    </row>
    <row r="18">
      <c r="A18" s="4" t="s">
        <v>49</v>
      </c>
      <c r="B18" s="5" t="s">
        <v>50</v>
      </c>
      <c r="C18" s="6">
        <v>46290.0</v>
      </c>
      <c r="D18" s="6">
        <v>46296.0</v>
      </c>
      <c r="E18" s="4" t="s">
        <v>44</v>
      </c>
      <c r="F18" s="5" t="s">
        <v>51</v>
      </c>
    </row>
    <row r="19">
      <c r="A19" s="4" t="s">
        <v>52</v>
      </c>
      <c r="B19" s="5" t="s">
        <v>53</v>
      </c>
      <c r="C19" s="6">
        <v>46297.0</v>
      </c>
      <c r="D19" s="6">
        <v>46301.0</v>
      </c>
      <c r="E19" s="4" t="s">
        <v>48</v>
      </c>
      <c r="F19" s="5" t="s">
        <v>54</v>
      </c>
    </row>
    <row r="20">
      <c r="A20" s="4" t="s">
        <v>55</v>
      </c>
      <c r="B20" s="5" t="s">
        <v>56</v>
      </c>
      <c r="C20" s="6">
        <v>46290.0</v>
      </c>
      <c r="D20" s="6">
        <v>46296.0</v>
      </c>
      <c r="E20" s="4" t="s">
        <v>44</v>
      </c>
      <c r="F20" s="5" t="s">
        <v>57</v>
      </c>
    </row>
    <row r="21">
      <c r="A21" s="4" t="s">
        <v>58</v>
      </c>
      <c r="B21" s="5" t="s">
        <v>59</v>
      </c>
      <c r="C21" s="6">
        <v>46290.0</v>
      </c>
      <c r="D21" s="6">
        <v>46296.0</v>
      </c>
      <c r="E21" s="4" t="s">
        <v>44</v>
      </c>
      <c r="F21" s="5" t="s">
        <v>60</v>
      </c>
    </row>
    <row r="22">
      <c r="A22" s="4" t="s">
        <v>61</v>
      </c>
      <c r="B22" s="5" t="s">
        <v>62</v>
      </c>
      <c r="C22" s="6">
        <v>46297.0</v>
      </c>
      <c r="D22" s="6">
        <v>46301.0</v>
      </c>
      <c r="E22" s="4" t="s">
        <v>48</v>
      </c>
      <c r="F22" s="5" t="s">
        <v>63</v>
      </c>
    </row>
    <row r="23">
      <c r="A23" s="4" t="s">
        <v>64</v>
      </c>
      <c r="B23" s="5" t="s">
        <v>65</v>
      </c>
      <c r="C23" s="6">
        <v>46302.0</v>
      </c>
      <c r="D23" s="10">
        <v>46306.0</v>
      </c>
      <c r="E23" s="4" t="s">
        <v>48</v>
      </c>
      <c r="F23" s="5" t="s">
        <v>67</v>
      </c>
    </row>
    <row r="24">
      <c r="A24" s="4" t="s">
        <v>68</v>
      </c>
      <c r="B24" s="5" t="s">
        <v>69</v>
      </c>
      <c r="C24" s="10">
        <v>46307.0</v>
      </c>
      <c r="D24" s="10">
        <v>46309.0</v>
      </c>
      <c r="E24" s="4" t="s">
        <v>16</v>
      </c>
      <c r="F24" s="5" t="s">
        <v>64</v>
      </c>
    </row>
    <row r="25">
      <c r="A25" s="4" t="s">
        <v>70</v>
      </c>
      <c r="B25" s="5" t="s">
        <v>71</v>
      </c>
      <c r="C25" s="10">
        <v>46310.0</v>
      </c>
      <c r="D25" s="10">
        <v>46314.0</v>
      </c>
      <c r="E25" s="4" t="s">
        <v>48</v>
      </c>
      <c r="F25" s="5" t="s">
        <v>72</v>
      </c>
    </row>
    <row r="26">
      <c r="A26" s="4" t="s">
        <v>73</v>
      </c>
      <c r="B26" s="5" t="s">
        <v>74</v>
      </c>
      <c r="C26" s="6">
        <v>46302.0</v>
      </c>
      <c r="D26" s="6">
        <v>46304.0</v>
      </c>
      <c r="E26" s="4" t="s">
        <v>16</v>
      </c>
      <c r="F26" s="5" t="s">
        <v>75</v>
      </c>
    </row>
    <row r="27">
      <c r="A27" s="4" t="s">
        <v>76</v>
      </c>
      <c r="B27" s="5" t="s">
        <v>77</v>
      </c>
      <c r="C27" s="6">
        <v>46302.0</v>
      </c>
      <c r="D27" s="6">
        <v>46304.0</v>
      </c>
      <c r="E27" s="4" t="s">
        <v>16</v>
      </c>
      <c r="F27" s="5" t="s">
        <v>78</v>
      </c>
    </row>
    <row r="28">
      <c r="A28" s="4" t="s">
        <v>79</v>
      </c>
      <c r="B28" s="5" t="s">
        <v>80</v>
      </c>
      <c r="C28" s="10">
        <v>46315.0</v>
      </c>
      <c r="D28" s="10">
        <v>46317.0</v>
      </c>
      <c r="E28" s="4" t="s">
        <v>16</v>
      </c>
      <c r="F28" s="5" t="s">
        <v>81</v>
      </c>
    </row>
    <row r="29">
      <c r="A29" s="4" t="s">
        <v>82</v>
      </c>
      <c r="B29" s="5" t="s">
        <v>83</v>
      </c>
      <c r="C29" s="10">
        <v>46315.0</v>
      </c>
      <c r="D29" s="10">
        <v>46317.0</v>
      </c>
      <c r="E29" s="4" t="s">
        <v>16</v>
      </c>
      <c r="F29" s="5" t="s">
        <v>81</v>
      </c>
    </row>
    <row r="30">
      <c r="A30" s="4" t="s">
        <v>84</v>
      </c>
      <c r="B30" s="5" t="s">
        <v>85</v>
      </c>
      <c r="C30" s="10">
        <v>46307.0</v>
      </c>
      <c r="D30" s="10">
        <v>46311.0</v>
      </c>
      <c r="E30" s="4" t="s">
        <v>48</v>
      </c>
      <c r="F30" s="5" t="s">
        <v>64</v>
      </c>
    </row>
    <row r="31">
      <c r="A31" s="4" t="s">
        <v>86</v>
      </c>
      <c r="B31" s="5" t="s">
        <v>87</v>
      </c>
      <c r="C31" s="10">
        <v>46315.0</v>
      </c>
      <c r="D31" s="10">
        <v>46316.0</v>
      </c>
      <c r="E31" s="4" t="s">
        <v>9</v>
      </c>
      <c r="F31" s="5" t="s">
        <v>70</v>
      </c>
    </row>
    <row r="32">
      <c r="A32" s="4" t="s">
        <v>88</v>
      </c>
      <c r="B32" s="5" t="s">
        <v>89</v>
      </c>
      <c r="C32" s="10">
        <v>46318.0</v>
      </c>
      <c r="D32" s="10">
        <v>46320.0</v>
      </c>
      <c r="E32" s="4" t="s">
        <v>16</v>
      </c>
      <c r="F32" s="5" t="s">
        <v>90</v>
      </c>
    </row>
    <row r="33">
      <c r="A33" s="4" t="s">
        <v>91</v>
      </c>
      <c r="B33" s="5" t="s">
        <v>92</v>
      </c>
      <c r="C33" s="10">
        <v>46318.0</v>
      </c>
      <c r="D33" s="10">
        <v>46320.0</v>
      </c>
      <c r="E33" s="4" t="s">
        <v>16</v>
      </c>
      <c r="F33" s="5" t="s">
        <v>93</v>
      </c>
    </row>
    <row r="34">
      <c r="A34" s="4" t="s">
        <v>94</v>
      </c>
      <c r="B34" s="5" t="s">
        <v>95</v>
      </c>
      <c r="C34" s="10">
        <v>46321.0</v>
      </c>
      <c r="D34" s="6">
        <v>46410.0</v>
      </c>
      <c r="E34" s="4" t="s">
        <v>96</v>
      </c>
      <c r="F34" s="5" t="s">
        <v>97</v>
      </c>
    </row>
    <row r="35">
      <c r="A35" s="4" t="s">
        <v>98</v>
      </c>
      <c r="B35" s="5" t="s">
        <v>99</v>
      </c>
      <c r="C35" s="6">
        <v>46411.0</v>
      </c>
      <c r="D35" s="6">
        <v>46415.0</v>
      </c>
      <c r="E35" s="4" t="s">
        <v>48</v>
      </c>
      <c r="F35" s="5" t="s">
        <v>94</v>
      </c>
    </row>
    <row r="36">
      <c r="A36" s="4" t="s">
        <v>100</v>
      </c>
      <c r="B36" s="5" t="s">
        <v>101</v>
      </c>
      <c r="C36" s="6">
        <v>46411.0</v>
      </c>
      <c r="D36" s="6">
        <v>46415.0</v>
      </c>
      <c r="E36" s="4" t="s">
        <v>48</v>
      </c>
      <c r="F36" s="5" t="s">
        <v>94</v>
      </c>
    </row>
    <row r="37">
      <c r="A37" s="4" t="s">
        <v>102</v>
      </c>
      <c r="B37" s="5" t="s">
        <v>103</v>
      </c>
      <c r="C37" s="6">
        <v>46416.0</v>
      </c>
      <c r="D37" s="6">
        <v>46420.0</v>
      </c>
      <c r="E37" s="4" t="s">
        <v>48</v>
      </c>
      <c r="F37" s="5" t="s">
        <v>104</v>
      </c>
    </row>
    <row r="38">
      <c r="A38" s="4" t="s">
        <v>105</v>
      </c>
      <c r="B38" s="5" t="s">
        <v>106</v>
      </c>
      <c r="C38" s="6">
        <v>46421.0</v>
      </c>
      <c r="D38" s="6">
        <v>46421.0</v>
      </c>
      <c r="E38" s="4" t="s">
        <v>107</v>
      </c>
      <c r="F38" s="5" t="s">
        <v>102</v>
      </c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drawing r:id="rId1"/>
</worksheet>
</file>